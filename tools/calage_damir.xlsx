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mal\Documents\DAMIR\Outil_damir\"/>
    </mc:Choice>
  </mc:AlternateContent>
  <xr:revisionPtr revIDLastSave="0" documentId="13_ncr:1_{A0EBBF99-B18A-4C11-8726-46263A0F825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LAGE" sheetId="1" r:id="rId1"/>
    <sheet name="GRANDS POSTES" sheetId="2" r:id="rId2"/>
    <sheet name="CONTROLES" sheetId="3" r:id="rId3"/>
    <sheet name="LISEZ-MOI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<sst xmlns="http://schemas.openxmlformats.org/spreadsheetml/2006/main" count="44" uniqueCount="43">
  <si>
    <t>annee</t>
  </si>
  <si>
    <t>remb_total</t>
  </si>
  <si>
    <t>depense_totale</t>
  </si>
  <si>
    <t>remb_soins_ville</t>
  </si>
  <si>
    <t>remb_hors_ville</t>
  </si>
  <si>
    <t>ref_officielle_remb (à saisir)</t>
  </si>
  <si>
    <t>ecart_%</t>
  </si>
  <si>
    <t>grand_poste</t>
  </si>
  <si>
    <t>Total</t>
  </si>
  <si>
    <t>Pharmacie</t>
  </si>
  <si>
    <t>Radios, Analyses et Auxiliaires Médicaux</t>
  </si>
  <si>
    <t>Hospitalisation</t>
  </si>
  <si>
    <t>Indemnités Journalières</t>
  </si>
  <si>
    <t>Consultations Visites</t>
  </si>
  <si>
    <t>Appareillage &amp; Prothèses (LPP)</t>
  </si>
  <si>
    <t>Actes Technique et de Chirurgie</t>
  </si>
  <si>
    <t>Dentaire</t>
  </si>
  <si>
    <t>HP</t>
  </si>
  <si>
    <t>Rémunérations forfaitaires des PS</t>
  </si>
  <si>
    <t>Hors transco</t>
  </si>
  <si>
    <t>Optique</t>
  </si>
  <si>
    <t>Autres Postes</t>
  </si>
  <si>
    <t>Maternité &amp; Adoption (forfaits)</t>
  </si>
  <si>
    <t>Non remboursable</t>
  </si>
  <si>
    <t>Invalidité, Décès &amp; Rentes</t>
  </si>
  <si>
    <t>Prévention &amp; Dépistage</t>
  </si>
  <si>
    <t>Transports</t>
  </si>
  <si>
    <t>Autres</t>
  </si>
  <si>
    <t>ratio_remb_dep</t>
  </si>
  <si>
    <t>part_regularisations</t>
  </si>
  <si>
    <t>croissance_annuelle</t>
  </si>
  <si>
    <t>Mode d'emploi du calage</t>
  </si>
  <si>
    <t>1. Télécharger sur ameli.fr (Études et données) la série labellisée</t>
  </si>
  <si>
    <t xml:space="preserve">   « Dépenses en date de remboursement 2015-2026 » (champ complet)</t>
  </si>
  <si>
    <t xml:space="preserve">   et/ou « Dépenses en date de soins » (soins de ville).</t>
  </si>
  <si>
    <t>2. Saisir les totaux annuels officiels dans la colonne F de CALAGE.</t>
  </si>
  <si>
    <t>3. Lire l'écart : Open DAMIR = TOUS RÉGIMES, la série officielle =</t>
  </si>
  <si>
    <t xml:space="preserve">   RÉGIME GÉNÉRAL → un écart de +8 % à +12 % est NORMAL et attendu.</t>
  </si>
  <si>
    <t xml:space="preserve">   Un écart hors de cette fourchette signale un vrai problème</t>
  </si>
  <si>
    <t xml:space="preserve">   (double compte, mois manquants, périmètre).</t>
  </si>
  <si>
    <t>4. CONTROLES : ratio remboursé/dépense attendu stable (~70-80 %),</t>
  </si>
  <si>
    <t xml:space="preserve">   part des régularisations négatives faible (&lt; 2-3 %),</t>
  </si>
  <si>
    <t xml:space="preserve">   croissance annuelle sans rupture inexpliquée hors 2020.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</si>
</sst>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K19" sqref="K19"/>
    </sheetView>
  </sheetViews>
  <sheetFormatPr baseColWidth="10" defaultColWidth="8.88671875" defaultRowHeight="14.4" x14ac:dyDescent="0.3"/>
  <cols>
    <col min="1" max="1" width="6.21875" bestFit="1" customWidth="1"/>
    <col min="2" max="3" width="14.33203125" bestFit="1" customWidth="1"/>
    <col min="4" max="4" width="15" bestFit="1" customWidth="1"/>
    <col min="5" max="5" width="14.44140625" bestFit="1" customWidth="1"/>
    <col min="6" max="6" width="24.44140625" bestFit="1" customWidth="1"/>
    <col min="7" max="7" width="7.66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2015</v>
      </c>
      <c r="B2" s="2">
        <v>107009300550.92239</v>
      </c>
      <c r="C2" s="2">
        <v>124776022802.86211</v>
      </c>
      <c r="D2" s="2">
        <v>76814352746.460297</v>
      </c>
      <c r="E2" s="2">
        <v>30194947804.459862</v>
      </c>
      <c r="F2" s="2"/>
      <c r="G2" s="3" t="str">
        <f t="shared" ref="G2:G12" si="0">IF(F2=0,"",(B2-F2)/F2)</f>
        <v/>
      </c>
    </row>
    <row r="3" spans="1:7" x14ac:dyDescent="0.3">
      <c r="A3">
        <v>2016</v>
      </c>
      <c r="B3" s="2">
        <v>110154425755.7135</v>
      </c>
      <c r="C3" s="2">
        <v>128168992132.2448</v>
      </c>
      <c r="D3" s="2">
        <v>79162646903.259521</v>
      </c>
      <c r="E3" s="2">
        <v>30991778852.449871</v>
      </c>
      <c r="F3" s="2"/>
      <c r="G3" s="3" t="str">
        <f t="shared" si="0"/>
        <v/>
      </c>
    </row>
    <row r="4" spans="1:7" x14ac:dyDescent="0.3">
      <c r="A4">
        <v>2017</v>
      </c>
      <c r="B4" s="2">
        <v>112995353230.4843</v>
      </c>
      <c r="C4" s="2">
        <v>131027247366.5459</v>
      </c>
      <c r="D4" s="2">
        <v>81162601694.419556</v>
      </c>
      <c r="E4" s="2">
        <v>31832751536.059761</v>
      </c>
      <c r="F4" s="2"/>
      <c r="G4" s="3" t="str">
        <f t="shared" si="0"/>
        <v/>
      </c>
    </row>
    <row r="5" spans="1:7" x14ac:dyDescent="0.3">
      <c r="A5">
        <v>2018</v>
      </c>
      <c r="B5" s="2">
        <v>115483882060.1156</v>
      </c>
      <c r="C5" s="2">
        <v>133613987100.5461</v>
      </c>
      <c r="D5" s="2">
        <v>83533782036.170013</v>
      </c>
      <c r="E5" s="2">
        <v>31950100023.939232</v>
      </c>
      <c r="F5" s="2"/>
      <c r="G5" s="3" t="str">
        <f t="shared" si="0"/>
        <v/>
      </c>
    </row>
    <row r="6" spans="1:7" x14ac:dyDescent="0.3">
      <c r="A6">
        <v>2019</v>
      </c>
      <c r="B6" s="2">
        <v>117937505501.0146</v>
      </c>
      <c r="C6" s="2">
        <v>136333880746.6974</v>
      </c>
      <c r="D6" s="2">
        <v>85886154078.580185</v>
      </c>
      <c r="E6" s="2">
        <v>32051351422.429619</v>
      </c>
      <c r="F6" s="2"/>
      <c r="G6" s="3" t="str">
        <f t="shared" si="0"/>
        <v/>
      </c>
    </row>
    <row r="7" spans="1:7" x14ac:dyDescent="0.3">
      <c r="A7">
        <v>2020</v>
      </c>
      <c r="B7" s="2">
        <v>123777417022.0159</v>
      </c>
      <c r="C7" s="2">
        <v>136475494606.265</v>
      </c>
      <c r="D7" s="2">
        <v>92025782068.541092</v>
      </c>
      <c r="E7" s="2">
        <v>31751634953.46936</v>
      </c>
      <c r="F7" s="2"/>
      <c r="G7" s="3" t="str">
        <f t="shared" si="0"/>
        <v/>
      </c>
    </row>
    <row r="8" spans="1:7" x14ac:dyDescent="0.3">
      <c r="A8">
        <v>2021</v>
      </c>
      <c r="B8" s="2">
        <v>137030866891.9881</v>
      </c>
      <c r="C8" s="2">
        <v>154816460531.09601</v>
      </c>
      <c r="D8" s="2">
        <v>102305955214.8315</v>
      </c>
      <c r="E8" s="2">
        <v>34724911677.149193</v>
      </c>
      <c r="F8" s="2"/>
      <c r="G8" s="3" t="str">
        <f t="shared" si="0"/>
        <v/>
      </c>
    </row>
    <row r="9" spans="1:7" x14ac:dyDescent="0.3">
      <c r="A9">
        <v>2022</v>
      </c>
      <c r="B9" s="2">
        <v>140857153745.418</v>
      </c>
      <c r="C9" s="2">
        <v>157500568106.65421</v>
      </c>
      <c r="D9" s="2">
        <v>104726560427.83099</v>
      </c>
      <c r="E9" s="2">
        <v>36130593317.578941</v>
      </c>
      <c r="F9" s="2"/>
      <c r="G9" s="3" t="str">
        <f t="shared" si="0"/>
        <v/>
      </c>
    </row>
    <row r="10" spans="1:7" x14ac:dyDescent="0.3">
      <c r="A10">
        <v>2023</v>
      </c>
      <c r="B10" s="2">
        <v>141680807380.86871</v>
      </c>
      <c r="C10" s="2">
        <v>161272298987.48401</v>
      </c>
      <c r="D10" s="2">
        <v>104164072131.742</v>
      </c>
      <c r="E10" s="2">
        <v>37516735249.119621</v>
      </c>
      <c r="F10" s="2"/>
      <c r="G10" s="3" t="str">
        <f t="shared" si="0"/>
        <v/>
      </c>
    </row>
    <row r="11" spans="1:7" x14ac:dyDescent="0.3">
      <c r="A11">
        <v>2024</v>
      </c>
      <c r="B11" s="2">
        <v>147093495048.51791</v>
      </c>
      <c r="C11" s="2">
        <v>166991715378.27451</v>
      </c>
      <c r="D11" s="2">
        <v>108826081623.2719</v>
      </c>
      <c r="E11" s="2">
        <v>38267413425.239418</v>
      </c>
      <c r="F11" s="2"/>
      <c r="G11" s="3" t="str">
        <f t="shared" si="0"/>
        <v/>
      </c>
    </row>
    <row r="12" spans="1:7" x14ac:dyDescent="0.3">
      <c r="A12">
        <v>2025</v>
      </c>
      <c r="B12" s="2">
        <v>143098119956.6069</v>
      </c>
      <c r="C12" s="2">
        <v>161973039982.33371</v>
      </c>
      <c r="D12" s="2">
        <v>107448311197.72189</v>
      </c>
      <c r="E12" s="2">
        <v>35649808758.879333</v>
      </c>
      <c r="F12" s="2"/>
      <c r="G12" s="3" t="str">
        <f t="shared" si="0"/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0"/>
  <sheetViews>
    <sheetView workbookViewId="0">
      <selection activeCell="K13" sqref="K13"/>
    </sheetView>
  </sheetViews>
  <sheetFormatPr baseColWidth="10" defaultColWidth="8.88671875" defaultRowHeight="14.4" x14ac:dyDescent="0.3"/>
  <cols>
    <col min="1" max="1" width="35" bestFit="1" customWidth="1"/>
    <col min="2" max="12" width="13.33203125" bestFit="1" customWidth="1"/>
    <col min="13" max="13" width="14.33203125" bestFit="1" customWidth="1"/>
  </cols>
  <sheetData>
    <row r="1" spans="1:13" x14ac:dyDescent="0.3">
      <c r="A1" s="1" t="s">
        <v>7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 t="s">
        <v>8</v>
      </c>
    </row>
    <row r="2" spans="1:13" x14ac:dyDescent="0.3">
      <c r="A2" s="1" t="s">
        <v>9</v>
      </c>
      <c r="B2" s="2">
        <v>24759092995.89011</v>
      </c>
      <c r="C2" s="2">
        <v>24943300876.929722</v>
      </c>
      <c r="D2" s="2">
        <v>25286868314.99968</v>
      </c>
      <c r="E2" s="2">
        <v>25545761293.419781</v>
      </c>
      <c r="F2" s="2">
        <v>25977869241.84967</v>
      </c>
      <c r="G2" s="2">
        <v>26945890279.66975</v>
      </c>
      <c r="H2" s="2">
        <v>31334611159.03973</v>
      </c>
      <c r="I2" s="2">
        <v>32912573655.539848</v>
      </c>
      <c r="J2" s="2">
        <v>32934005459.319851</v>
      </c>
      <c r="K2" s="2">
        <v>34176590434.199951</v>
      </c>
      <c r="L2" s="2">
        <v>35119575352.220169</v>
      </c>
      <c r="M2" s="2">
        <v>319936139063.07819</v>
      </c>
    </row>
    <row r="3" spans="1:13" x14ac:dyDescent="0.3">
      <c r="A3" s="1" t="s">
        <v>10</v>
      </c>
      <c r="B3" s="2">
        <v>20466763733.529751</v>
      </c>
      <c r="C3" s="2">
        <v>21801576302.419701</v>
      </c>
      <c r="D3" s="2">
        <v>22740933953.889721</v>
      </c>
      <c r="E3" s="2">
        <v>23492876266.409809</v>
      </c>
      <c r="F3" s="2">
        <v>24398446587.279701</v>
      </c>
      <c r="G3" s="2">
        <v>25886468092.779812</v>
      </c>
      <c r="H3" s="2">
        <v>30739870406.049938</v>
      </c>
      <c r="I3" s="2">
        <v>29169516010.779812</v>
      </c>
      <c r="J3" s="2">
        <v>28252716271.559898</v>
      </c>
      <c r="K3" s="2">
        <v>26148489023.719872</v>
      </c>
      <c r="L3" s="2">
        <v>23880755956.199699</v>
      </c>
      <c r="M3" s="2">
        <v>276978412604.61768</v>
      </c>
    </row>
    <row r="4" spans="1:13" x14ac:dyDescent="0.3">
      <c r="A4" s="1" t="s">
        <v>11</v>
      </c>
      <c r="B4" s="2">
        <v>22407176720.739891</v>
      </c>
      <c r="C4" s="2">
        <v>22133260996.819881</v>
      </c>
      <c r="D4" s="2">
        <v>21911052553.4799</v>
      </c>
      <c r="E4" s="2">
        <v>21510848162.449928</v>
      </c>
      <c r="F4" s="2">
        <v>21062403763.709869</v>
      </c>
      <c r="G4" s="2">
        <v>20183344718.749931</v>
      </c>
      <c r="H4" s="2">
        <v>22044572541.369961</v>
      </c>
      <c r="I4" s="2">
        <v>21994887669.549728</v>
      </c>
      <c r="J4" s="2">
        <v>23178230594.249741</v>
      </c>
      <c r="K4" s="2">
        <v>24164620163.62986</v>
      </c>
      <c r="L4" s="2">
        <v>22675496371.14983</v>
      </c>
      <c r="M4" s="2">
        <v>243265894255.8985</v>
      </c>
    </row>
    <row r="5" spans="1:13" x14ac:dyDescent="0.3">
      <c r="A5" s="1" t="s">
        <v>12</v>
      </c>
      <c r="B5" s="2">
        <v>13445800640.82</v>
      </c>
      <c r="C5" s="2">
        <v>14004021462.339979</v>
      </c>
      <c r="D5" s="2">
        <v>14482475959.440001</v>
      </c>
      <c r="E5" s="2">
        <v>15021360949.379999</v>
      </c>
      <c r="F5" s="2">
        <v>15651861819.48</v>
      </c>
      <c r="G5" s="2">
        <v>18845807569.379971</v>
      </c>
      <c r="H5" s="2">
        <v>18417632397.450001</v>
      </c>
      <c r="I5" s="2">
        <v>20608027176.540001</v>
      </c>
      <c r="J5" s="2">
        <v>19745179272.480011</v>
      </c>
      <c r="K5" s="2">
        <v>20957028753.490002</v>
      </c>
      <c r="L5" s="2">
        <v>20312831875.459991</v>
      </c>
      <c r="M5" s="2">
        <v>191492027876.25989</v>
      </c>
    </row>
    <row r="6" spans="1:13" x14ac:dyDescent="0.3">
      <c r="A6" s="1" t="s">
        <v>13</v>
      </c>
      <c r="B6" s="2">
        <v>10259586125.58997</v>
      </c>
      <c r="C6" s="2">
        <v>10657141336.61997</v>
      </c>
      <c r="D6" s="2">
        <v>11254836526.68998</v>
      </c>
      <c r="E6" s="2">
        <v>11055485399.50997</v>
      </c>
      <c r="F6" s="2">
        <v>11276218123.40996</v>
      </c>
      <c r="G6" s="2">
        <v>10755186209.399969</v>
      </c>
      <c r="H6" s="2">
        <v>11568328428.69993</v>
      </c>
      <c r="I6" s="2">
        <v>12710226193.400021</v>
      </c>
      <c r="J6" s="2">
        <v>11945864254.87001</v>
      </c>
      <c r="K6" s="2">
        <v>12259930468.790001</v>
      </c>
      <c r="L6" s="2">
        <v>12036400297.980021</v>
      </c>
      <c r="M6" s="2">
        <v>125779203364.95979</v>
      </c>
    </row>
    <row r="7" spans="1:13" x14ac:dyDescent="0.3">
      <c r="A7" s="1" t="s">
        <v>14</v>
      </c>
      <c r="B7" s="2">
        <v>6335376309.5500021</v>
      </c>
      <c r="C7" s="2">
        <v>6707789871.6899948</v>
      </c>
      <c r="D7" s="2">
        <v>6968834596.4599886</v>
      </c>
      <c r="E7" s="2">
        <v>7256776222.2199821</v>
      </c>
      <c r="F7" s="2">
        <v>7546334194.4599972</v>
      </c>
      <c r="G7" s="2">
        <v>7659961674.5699978</v>
      </c>
      <c r="H7" s="2">
        <v>8357735834.109952</v>
      </c>
      <c r="I7" s="2">
        <v>8660597380.7699642</v>
      </c>
      <c r="J7" s="2">
        <v>9082931639.9299679</v>
      </c>
      <c r="K7" s="2">
        <v>9575710561.6999779</v>
      </c>
      <c r="L7" s="2">
        <v>9234659775.4399757</v>
      </c>
      <c r="M7" s="2">
        <v>87386708060.899796</v>
      </c>
    </row>
    <row r="8" spans="1:13" x14ac:dyDescent="0.3">
      <c r="A8" s="1" t="s">
        <v>15</v>
      </c>
      <c r="B8" s="2">
        <v>4814267962.3199987</v>
      </c>
      <c r="C8" s="2">
        <v>5203940622.469985</v>
      </c>
      <c r="D8" s="2">
        <v>5556286229.6099834</v>
      </c>
      <c r="E8" s="2">
        <v>5843355846.5999899</v>
      </c>
      <c r="F8" s="2">
        <v>6070075176.5999727</v>
      </c>
      <c r="G8" s="2">
        <v>5684933657.1899843</v>
      </c>
      <c r="H8" s="2">
        <v>6554341739.3999882</v>
      </c>
      <c r="I8" s="2">
        <v>6762521698.9800072</v>
      </c>
      <c r="J8" s="2">
        <v>7137641476.1999807</v>
      </c>
      <c r="K8" s="2">
        <v>7104652378.1199741</v>
      </c>
      <c r="L8" s="2">
        <v>6941885652.0499725</v>
      </c>
      <c r="M8" s="2">
        <v>67673902439.539833</v>
      </c>
    </row>
    <row r="9" spans="1:13" x14ac:dyDescent="0.3">
      <c r="A9" s="1" t="s">
        <v>16</v>
      </c>
      <c r="B9" s="2">
        <v>3372694202.580018</v>
      </c>
      <c r="C9" s="2">
        <v>3438548772.7700238</v>
      </c>
      <c r="D9" s="2">
        <v>3491575642.4800119</v>
      </c>
      <c r="E9" s="2">
        <v>3590817142.510026</v>
      </c>
      <c r="F9" s="2">
        <v>3774340528.1800151</v>
      </c>
      <c r="G9" s="2">
        <v>3551502299.490005</v>
      </c>
      <c r="H9" s="2">
        <v>4396853022.9200039</v>
      </c>
      <c r="I9" s="2">
        <v>4517950547.7300091</v>
      </c>
      <c r="J9" s="2">
        <v>4702997527.3200045</v>
      </c>
      <c r="K9" s="2">
        <v>4647746188.6100044</v>
      </c>
      <c r="L9" s="2">
        <v>4822387114.8799944</v>
      </c>
      <c r="M9" s="2">
        <v>44307412989.470123</v>
      </c>
    </row>
    <row r="10" spans="1:13" x14ac:dyDescent="0.3">
      <c r="A10" s="1" t="s">
        <v>17</v>
      </c>
      <c r="B10" s="2">
        <v>845981206.91000032</v>
      </c>
      <c r="C10" s="2">
        <v>944099947.40999901</v>
      </c>
      <c r="D10" s="2">
        <v>963998109.37</v>
      </c>
      <c r="E10" s="2">
        <v>1123664526.5299981</v>
      </c>
      <c r="F10" s="2">
        <v>1184441374.0099981</v>
      </c>
      <c r="G10" s="2">
        <v>3568296837.6599941</v>
      </c>
      <c r="H10" s="2">
        <v>2954566524.1699958</v>
      </c>
      <c r="I10" s="2">
        <v>2726737498.0299978</v>
      </c>
      <c r="J10" s="2">
        <v>2589604138.02</v>
      </c>
      <c r="K10" s="2">
        <v>2237500637.5699992</v>
      </c>
      <c r="L10" s="2">
        <v>1292090776.759999</v>
      </c>
      <c r="M10" s="2">
        <v>20430981576.43998</v>
      </c>
    </row>
    <row r="11" spans="1:13" x14ac:dyDescent="0.3">
      <c r="A11" s="1" t="s">
        <v>18</v>
      </c>
      <c r="B11" s="2">
        <v>252402263.19000009</v>
      </c>
      <c r="C11" s="2">
        <v>252989382.54999989</v>
      </c>
      <c r="D11" s="2">
        <v>288215707.56</v>
      </c>
      <c r="E11" s="2">
        <v>1007397469.24</v>
      </c>
      <c r="F11" s="2">
        <v>964563973.01000023</v>
      </c>
      <c r="G11" s="2">
        <v>938897461.37000024</v>
      </c>
      <c r="H11" s="2">
        <v>892843464.2099998</v>
      </c>
      <c r="I11" s="2">
        <v>912267673.10000026</v>
      </c>
      <c r="J11" s="2">
        <v>996114497.54999995</v>
      </c>
      <c r="K11" s="2">
        <v>1013273323.65</v>
      </c>
      <c r="L11" s="2">
        <v>732074582.12999988</v>
      </c>
      <c r="M11" s="2">
        <v>8251039797.5600004</v>
      </c>
    </row>
    <row r="12" spans="1:13" x14ac:dyDescent="0.3">
      <c r="A12" s="1" t="s">
        <v>19</v>
      </c>
      <c r="B12" s="2"/>
      <c r="C12" s="2"/>
      <c r="D12" s="2"/>
      <c r="E12" s="2"/>
      <c r="F12" s="2">
        <v>1500</v>
      </c>
      <c r="G12" s="2">
        <v>79825.279999999984</v>
      </c>
      <c r="H12" s="2">
        <v>81.400000000000006</v>
      </c>
      <c r="I12" s="2">
        <v>517.5</v>
      </c>
      <c r="J12" s="2">
        <v>1137997243.27</v>
      </c>
      <c r="K12" s="2">
        <v>2190476791.2399969</v>
      </c>
      <c r="L12" s="2">
        <v>2861938326.1100078</v>
      </c>
      <c r="M12" s="2">
        <v>6190494284.8000059</v>
      </c>
    </row>
    <row r="13" spans="1:13" x14ac:dyDescent="0.3">
      <c r="A13" s="1" t="s">
        <v>20</v>
      </c>
      <c r="B13" s="2">
        <v>272149149.51999962</v>
      </c>
      <c r="C13" s="2">
        <v>278396940.82000011</v>
      </c>
      <c r="D13" s="2">
        <v>277440138.29000002</v>
      </c>
      <c r="E13" s="2">
        <v>287727246.2900002</v>
      </c>
      <c r="F13" s="2">
        <v>303054367.73999947</v>
      </c>
      <c r="G13" s="2">
        <v>194834471.8499957</v>
      </c>
      <c r="H13" s="2">
        <v>248311833.85999361</v>
      </c>
      <c r="I13" s="2">
        <v>267335605.45999321</v>
      </c>
      <c r="J13" s="2">
        <v>284682746.80999088</v>
      </c>
      <c r="K13" s="2">
        <v>304990561.13999093</v>
      </c>
      <c r="L13" s="2">
        <v>322377013.05999029</v>
      </c>
      <c r="M13" s="2">
        <v>3041300074.8399539</v>
      </c>
    </row>
    <row r="14" spans="1:13" x14ac:dyDescent="0.3">
      <c r="A14" s="1" t="s">
        <v>21</v>
      </c>
      <c r="B14" s="2">
        <v>281969699.00999987</v>
      </c>
      <c r="C14" s="2">
        <v>289213983.59000009</v>
      </c>
      <c r="D14" s="2">
        <v>293516738.31000018</v>
      </c>
      <c r="E14" s="2">
        <v>281094529.09000027</v>
      </c>
      <c r="F14" s="2">
        <v>267323090.66999981</v>
      </c>
      <c r="G14" s="2">
        <v>92495999.259999692</v>
      </c>
      <c r="H14" s="2">
        <v>158837860.2999993</v>
      </c>
      <c r="I14" s="2">
        <v>214510590.15999931</v>
      </c>
      <c r="J14" s="2">
        <v>235711981.92999959</v>
      </c>
      <c r="K14" s="2">
        <v>248425138.31000009</v>
      </c>
      <c r="L14" s="2">
        <v>244724063.47000009</v>
      </c>
      <c r="M14" s="2">
        <v>2607823674.099998</v>
      </c>
    </row>
    <row r="15" spans="1:13" x14ac:dyDescent="0.3">
      <c r="A15" s="1" t="s">
        <v>22</v>
      </c>
      <c r="B15" s="2">
        <v>68917856.00999999</v>
      </c>
      <c r="C15" s="2">
        <v>67646757.080000013</v>
      </c>
      <c r="D15" s="2">
        <v>68190260.639999986</v>
      </c>
      <c r="E15" s="2">
        <v>78528510.789999992</v>
      </c>
      <c r="F15" s="2">
        <v>77535200.530000031</v>
      </c>
      <c r="G15" s="2">
        <v>77769723.289999992</v>
      </c>
      <c r="H15" s="2">
        <v>77165687.420000017</v>
      </c>
      <c r="I15" s="2">
        <v>73820788.090000004</v>
      </c>
      <c r="J15" s="2">
        <v>66447760.88000001</v>
      </c>
      <c r="K15" s="2">
        <v>63020936.340000004</v>
      </c>
      <c r="L15" s="2">
        <v>57023659.170000009</v>
      </c>
      <c r="M15" s="2">
        <v>776067140.24000001</v>
      </c>
    </row>
    <row r="16" spans="1:13" x14ac:dyDescent="0.3">
      <c r="A16" s="1" t="s">
        <v>23</v>
      </c>
      <c r="B16" s="2">
        <v>36625762.340000018</v>
      </c>
      <c r="C16" s="2">
        <v>24561251.379999992</v>
      </c>
      <c r="D16" s="2">
        <v>19616313.859999999</v>
      </c>
      <c r="E16" s="2">
        <v>17220482.73</v>
      </c>
      <c r="F16" s="2">
        <v>17828259.789999992</v>
      </c>
      <c r="G16" s="2">
        <v>26062992.25</v>
      </c>
      <c r="H16" s="2">
        <v>22911143.489999998</v>
      </c>
      <c r="I16" s="2">
        <v>19988082.050000001</v>
      </c>
      <c r="J16" s="2">
        <v>21196818.120000001</v>
      </c>
      <c r="K16" s="2">
        <v>22115945.280000001</v>
      </c>
      <c r="L16" s="2">
        <v>19685151.890000001</v>
      </c>
      <c r="M16" s="2">
        <v>247812203.18000001</v>
      </c>
    </row>
    <row r="17" spans="1:13" x14ac:dyDescent="0.3">
      <c r="A17" s="1" t="s">
        <v>24</v>
      </c>
      <c r="B17" s="2">
        <v>17452599.010000002</v>
      </c>
      <c r="C17" s="2">
        <v>15923341.810000001</v>
      </c>
      <c r="D17" s="2">
        <v>15719273.67</v>
      </c>
      <c r="E17" s="2">
        <v>13593441.4</v>
      </c>
      <c r="F17" s="2">
        <v>16587080.289999999</v>
      </c>
      <c r="G17" s="2">
        <v>18927924.960000001</v>
      </c>
      <c r="H17" s="2">
        <v>18070261.329999998</v>
      </c>
      <c r="I17" s="2">
        <v>19422911.399999999</v>
      </c>
      <c r="J17" s="2">
        <v>23709003.399999999</v>
      </c>
      <c r="K17" s="2">
        <v>32288871.800000001</v>
      </c>
      <c r="L17" s="2">
        <v>37355137.890000001</v>
      </c>
      <c r="M17" s="2">
        <v>229049846.96000001</v>
      </c>
    </row>
    <row r="18" spans="1:13" x14ac:dyDescent="0.3">
      <c r="A18" s="1" t="s">
        <v>25</v>
      </c>
      <c r="B18" s="2">
        <v>13131993.029999999</v>
      </c>
      <c r="C18" s="2">
        <v>28822107.680000011</v>
      </c>
      <c r="D18" s="2">
        <v>22948808.500000011</v>
      </c>
      <c r="E18" s="2">
        <v>21544515.539999999</v>
      </c>
      <c r="F18" s="2">
        <v>15261066.999999991</v>
      </c>
      <c r="G18" s="2">
        <v>17909222.97000001</v>
      </c>
      <c r="H18" s="2">
        <v>13110343.829999991</v>
      </c>
      <c r="I18" s="2">
        <v>14044639.639999989</v>
      </c>
      <c r="J18" s="2">
        <v>22380552.75999999</v>
      </c>
      <c r="K18" s="2">
        <v>14184637.18999999</v>
      </c>
      <c r="L18" s="2">
        <v>16564832.04999999</v>
      </c>
      <c r="M18" s="2">
        <v>199902720.19</v>
      </c>
    </row>
    <row r="19" spans="1:13" x14ac:dyDescent="0.3">
      <c r="A19" s="1" t="s">
        <v>26</v>
      </c>
      <c r="B19" s="2">
        <v>-280863.56</v>
      </c>
      <c r="C19" s="2">
        <v>-261094.22</v>
      </c>
      <c r="D19" s="2">
        <v>-245778.61</v>
      </c>
      <c r="E19" s="2">
        <v>-207263.53</v>
      </c>
      <c r="F19" s="2">
        <v>-163482.85999999999</v>
      </c>
      <c r="G19" s="2">
        <v>-111641.27</v>
      </c>
      <c r="H19" s="2">
        <v>-88460.590000000011</v>
      </c>
      <c r="I19" s="2">
        <v>4721897.6300000027</v>
      </c>
      <c r="J19" s="2">
        <v>4325780.4800000014</v>
      </c>
      <c r="K19" s="2">
        <v>-107863.3</v>
      </c>
      <c r="L19" s="2">
        <v>-67771.539999999979</v>
      </c>
      <c r="M19" s="2">
        <v>7513458.6300000045</v>
      </c>
    </row>
    <row r="20" spans="1:13" x14ac:dyDescent="0.3">
      <c r="A20" s="1" t="s">
        <v>27</v>
      </c>
      <c r="B20" s="2">
        <v>-639807805.56000018</v>
      </c>
      <c r="C20" s="2">
        <v>-636547104.44999993</v>
      </c>
      <c r="D20" s="2">
        <v>-646910118.15999937</v>
      </c>
      <c r="E20" s="2">
        <v>-663962680.47000015</v>
      </c>
      <c r="F20" s="2">
        <v>-666476364.1400007</v>
      </c>
      <c r="G20" s="2">
        <v>-670840296.83999956</v>
      </c>
      <c r="H20" s="2">
        <v>-768807376.47999918</v>
      </c>
      <c r="I20" s="2">
        <v>-731996790.93999922</v>
      </c>
      <c r="J20" s="2">
        <v>-680929638.28999841</v>
      </c>
      <c r="K20" s="2">
        <v>1932558097.029994</v>
      </c>
      <c r="L20" s="2">
        <v>2490361790.229991</v>
      </c>
      <c r="M20" s="2">
        <v>-1683358288.0700121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0</v>
      </c>
      <c r="B1" s="1" t="s">
        <v>28</v>
      </c>
      <c r="C1" s="1" t="s">
        <v>29</v>
      </c>
      <c r="D1" s="1" t="s">
        <v>30</v>
      </c>
    </row>
    <row r="2" spans="1:4" x14ac:dyDescent="0.3">
      <c r="A2">
        <v>2015</v>
      </c>
      <c r="B2" s="3">
        <v>0.85761108702743494</v>
      </c>
      <c r="C2" s="3">
        <v>2.4474848991500878E-2</v>
      </c>
      <c r="D2" s="3"/>
    </row>
    <row r="3" spans="1:4" x14ac:dyDescent="0.3">
      <c r="A3">
        <v>2016</v>
      </c>
      <c r="B3" s="3">
        <v>0.85944676573610579</v>
      </c>
      <c r="C3" s="3">
        <v>2.4012704826912309E-2</v>
      </c>
      <c r="D3" s="3">
        <v>2.9391138794473189E-2</v>
      </c>
    </row>
    <row r="4" spans="1:4" x14ac:dyDescent="0.3">
      <c r="A4">
        <v>2017</v>
      </c>
      <c r="B4" s="3">
        <v>0.86238057733428042</v>
      </c>
      <c r="C4" s="3">
        <v>2.431583538471354E-2</v>
      </c>
      <c r="D4" s="3">
        <v>2.5790407015233718E-2</v>
      </c>
    </row>
    <row r="5" spans="1:4" x14ac:dyDescent="0.3">
      <c r="A5">
        <v>2018</v>
      </c>
      <c r="B5" s="3">
        <v>0.86430982688370972</v>
      </c>
      <c r="C5" s="3">
        <v>2.459506062007405E-2</v>
      </c>
      <c r="D5" s="3">
        <v>2.2023284661586651E-2</v>
      </c>
    </row>
    <row r="6" spans="1:4" x14ac:dyDescent="0.3">
      <c r="A6">
        <v>2019</v>
      </c>
      <c r="B6" s="3">
        <v>0.86506380406009609</v>
      </c>
      <c r="C6" s="3">
        <v>8.4511594122228653E-2</v>
      </c>
      <c r="D6" s="3">
        <v>2.1246457922341259E-2</v>
      </c>
    </row>
    <row r="7" spans="1:4" x14ac:dyDescent="0.3">
      <c r="A7">
        <v>2020</v>
      </c>
      <c r="B7" s="3">
        <v>0.90695708690499233</v>
      </c>
      <c r="C7" s="3">
        <v>2.6633664203734721E-2</v>
      </c>
      <c r="D7" s="3">
        <v>4.9517000518144887E-2</v>
      </c>
    </row>
    <row r="8" spans="1:4" x14ac:dyDescent="0.3">
      <c r="A8">
        <v>2021</v>
      </c>
      <c r="B8" s="3">
        <v>0.88511820010550202</v>
      </c>
      <c r="C8" s="3">
        <v>2.5371978183357041E-2</v>
      </c>
      <c r="D8" s="3">
        <v>0.1070748621908475</v>
      </c>
    </row>
    <row r="9" spans="1:4" x14ac:dyDescent="0.3">
      <c r="A9">
        <v>2022</v>
      </c>
      <c r="B9" s="3">
        <v>0.89432790902718662</v>
      </c>
      <c r="C9" s="3">
        <v>2.38665382634102E-2</v>
      </c>
      <c r="D9" s="3">
        <v>2.7922809949428199E-2</v>
      </c>
    </row>
    <row r="10" spans="1:4" x14ac:dyDescent="0.3">
      <c r="A10">
        <v>2023</v>
      </c>
      <c r="B10" s="3">
        <v>0.87851917700921367</v>
      </c>
      <c r="C10" s="3">
        <v>2.717532017642868E-2</v>
      </c>
      <c r="D10" s="3">
        <v>5.8474391505813914E-3</v>
      </c>
    </row>
    <row r="11" spans="1:4" x14ac:dyDescent="0.3">
      <c r="A11">
        <v>2024</v>
      </c>
      <c r="B11" s="3">
        <v>0.88084306886313257</v>
      </c>
      <c r="C11" s="3">
        <v>3.11092058986066E-2</v>
      </c>
      <c r="D11" s="3">
        <v>3.8203393725015911E-2</v>
      </c>
    </row>
    <row r="12" spans="1:4" x14ac:dyDescent="0.3">
      <c r="A12">
        <v>2025</v>
      </c>
      <c r="B12" s="3">
        <v>0.88346875487559229</v>
      </c>
      <c r="C12" s="3">
        <v>2.4753917944024519E-2</v>
      </c>
      <c r="D12" s="3">
        <v>-2.7162146705353999E-2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2"/>
  <sheetViews>
    <sheetView workbookViewId="0"/>
  </sheetViews>
  <sheetFormatPr baseColWidth="10" defaultColWidth="8.88671875" defaultRowHeight="14.4" x14ac:dyDescent="0.3"/>
  <cols>
    <col min="1" max="1" width="78" customWidth="1"/>
  </cols>
  <sheetData>
    <row r="1" spans="1:1" x14ac:dyDescent="0.3">
      <c r="A1" s="1" t="s">
        <v>31</v>
      </c>
    </row>
    <row r="2" spans="1:1" x14ac:dyDescent="0.3">
      <c r="A2" t="s">
        <v>32</v>
      </c>
    </row>
    <row r="3" spans="1:1" x14ac:dyDescent="0.3">
      <c r="A3" t="s">
        <v>33</v>
      </c>
    </row>
    <row r="4" spans="1:1" x14ac:dyDescent="0.3">
      <c r="A4" t="s">
        <v>34</v>
      </c>
    </row>
    <row r="5" spans="1:1" x14ac:dyDescent="0.3">
      <c r="A5" t="s">
        <v>35</v>
      </c>
    </row>
    <row r="6" spans="1:1" x14ac:dyDescent="0.3">
      <c r="A6" t="s">
        <v>36</v>
      </c>
    </row>
    <row r="7" spans="1:1" x14ac:dyDescent="0.3">
      <c r="A7" t="s">
        <v>37</v>
      </c>
    </row>
    <row r="8" spans="1:1" x14ac:dyDescent="0.3">
      <c r="A8" t="s">
        <v>38</v>
      </c>
    </row>
    <row r="9" spans="1:1" x14ac:dyDescent="0.3">
      <c r="A9" t="s">
        <v>39</v>
      </c>
    </row>
    <row r="10" spans="1:1" x14ac:dyDescent="0.3">
      <c r="A10" t="s">
        <v>40</v>
      </c>
    </row>
    <row r="11" spans="1:1" x14ac:dyDescent="0.3">
      <c r="A11" t="s">
        <v>41</v>
      </c>
    </row>
    <row r="12" spans="1:1" x14ac:dyDescent="0.3">
      <c r="A12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CALAGE</vt:lpstr>
      <vt:lpstr>GRANDS POSTES</vt:lpstr>
      <vt:lpstr>CONTROLES</vt:lpstr>
      <vt:lpstr>LISEZ-MOI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 MALAURENT</cp:lastModifiedBy>
  <dcterms:created xsi:type="dcterms:W3CDTF">2026-07-18T09:51:44Z</dcterms:created>
  <dcterms:modified xsi:type="dcterms:W3CDTF">2026-07-18T09:53:13Z</dcterms:modified>
</cp:coreProperties>
</file>